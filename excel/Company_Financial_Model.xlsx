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sz val="15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Company Valuation &amp; Financial Intelligence</t>
        </is>
      </c>
    </row>
    <row r="2"/>
    <row r="3">
      <c r="A3" s="2" t="inlineStr">
        <is>
          <t>Starter company</t>
        </is>
      </c>
      <c r="B3" t="inlineStr">
        <is>
          <t>Apple Inc. (AAPL)</t>
        </is>
      </c>
    </row>
    <row r="4"/>
    <row r="5">
      <c r="A5" s="2" t="inlineStr">
        <is>
          <t>Workflow</t>
        </is>
      </c>
      <c r="B5" t="inlineStr">
        <is>
          <t>Python → clean financial data → analysis/forecast → DCF/comps/Monte Carlo → Excel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28" customWidth="1" min="3" max="3"/>
  </cols>
  <sheetData>
    <row r="1">
      <c r="A1" s="3" t="inlineStr">
        <is>
          <t>Assumptions</t>
        </is>
      </c>
      <c r="B1" s="3" t="n"/>
      <c r="C1" s="3" t="n"/>
    </row>
    <row r="2">
      <c r="A2" t="inlineStr">
        <is>
          <t>Input</t>
        </is>
      </c>
      <c r="B2" t="inlineStr">
        <is>
          <t>Value</t>
        </is>
      </c>
      <c r="C2" t="inlineStr">
        <is>
          <t>Notes</t>
        </is>
      </c>
    </row>
    <row r="3">
      <c r="A3" t="inlineStr">
        <is>
          <t>Risk-free rate</t>
        </is>
      </c>
      <c r="B3" t="n">
        <v>0.043</v>
      </c>
      <c r="C3" t="inlineStr">
        <is>
          <t>Replace with a current market assumption</t>
        </is>
      </c>
    </row>
    <row r="4">
      <c r="A4" t="inlineStr">
        <is>
          <t>Equity risk premium</t>
        </is>
      </c>
      <c r="B4" t="n">
        <v>0.055</v>
      </c>
      <c r="C4" t="inlineStr">
        <is>
          <t>Assumption</t>
        </is>
      </c>
    </row>
    <row r="5">
      <c r="A5" t="inlineStr">
        <is>
          <t>Beta</t>
        </is>
      </c>
      <c r="B5" t="n">
        <v>1</v>
      </c>
      <c r="C5" t="inlineStr">
        <is>
          <t>Pull/verify from market-data source</t>
        </is>
      </c>
    </row>
    <row r="6">
      <c r="A6" t="inlineStr">
        <is>
          <t>Cost of debt</t>
        </is>
      </c>
      <c r="B6" t="n">
        <v>0.045</v>
      </c>
      <c r="C6" t="inlineStr">
        <is>
          <t>Assumption</t>
        </is>
      </c>
    </row>
    <row r="7">
      <c r="A7" t="inlineStr">
        <is>
          <t>Tax rate</t>
        </is>
      </c>
      <c r="B7" t="n">
        <v>0.16</v>
      </c>
      <c r="C7" t="inlineStr">
        <is>
          <t>Assumption</t>
        </is>
      </c>
    </row>
    <row r="8">
      <c r="A8" t="inlineStr">
        <is>
          <t>Terminal growth</t>
        </is>
      </c>
      <c r="B8" t="n">
        <v>0.025</v>
      </c>
      <c r="C8" t="inlineStr">
        <is>
          <t>Should remain below WACC</t>
        </is>
      </c>
    </row>
    <row r="9">
      <c r="A9" t="inlineStr">
        <is>
          <t>Revenue growth</t>
        </is>
      </c>
      <c r="B9" t="n">
        <v>0.06</v>
      </c>
      <c r="C9" t="inlineStr">
        <is>
          <t>Base case</t>
        </is>
      </c>
    </row>
    <row r="10">
      <c r="A10" t="inlineStr">
        <is>
          <t>EBITDA margin</t>
        </is>
      </c>
      <c r="B10" t="n">
        <v>0.34</v>
      </c>
      <c r="C10" t="inlineStr">
        <is>
          <t>Base case</t>
        </is>
      </c>
    </row>
    <row r="11">
      <c r="A11" t="inlineStr">
        <is>
          <t>CapEx / Revenue</t>
        </is>
      </c>
      <c r="B11" t="n">
        <v>0.035</v>
      </c>
      <c r="C11" t="inlineStr">
        <is>
          <t>Base case</t>
        </is>
      </c>
    </row>
    <row r="12">
      <c r="A12" t="inlineStr">
        <is>
          <t>ΔNWC / Revenue</t>
        </is>
      </c>
      <c r="B12" t="n">
        <v>0.005</v>
      </c>
      <c r="C12" t="inlineStr">
        <is>
          <t>Base case</t>
        </is>
      </c>
    </row>
    <row r="13">
      <c r="A13" t="inlineStr">
        <is>
          <t>D&amp;A / Revenue</t>
        </is>
      </c>
      <c r="B13" t="n">
        <v>0.04</v>
      </c>
      <c r="C13" t="inlineStr">
        <is>
          <t>Base 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" customWidth="1" min="2" max="2"/>
    <col width="2" customWidth="1" min="3" max="3"/>
    <col width="22" customWidth="1" min="4" max="4"/>
    <col width="2" customWidth="1" min="5" max="5"/>
    <col width="22" customWidth="1" min="6" max="6"/>
  </cols>
  <sheetData>
    <row r="1">
      <c r="A1" s="4" t="inlineStr">
        <is>
          <t>Historical</t>
        </is>
      </c>
    </row>
    <row r="2">
      <c r="A2" t="n">
        <v>2002</v>
      </c>
      <c r="B2" t="inlineStr"/>
      <c r="C2" t="inlineStr"/>
      <c r="D2">
        <f>IFERROR(C2/B2,"")</f>
        <v/>
      </c>
      <c r="E2" t="inlineStr"/>
      <c r="F2">
        <f>IFERROR(E2/B2,"")</f>
        <v/>
      </c>
    </row>
    <row r="3">
      <c r="A3" t="n">
        <v>2003</v>
      </c>
      <c r="B3" t="inlineStr"/>
      <c r="C3" t="inlineStr"/>
      <c r="D3">
        <f>IFERROR(C3/B3,"")</f>
        <v/>
      </c>
      <c r="E3" t="inlineStr"/>
      <c r="F3">
        <f>IFERROR(E3/B3,"")</f>
        <v/>
      </c>
    </row>
    <row r="4">
      <c r="A4" t="n">
        <v>2004</v>
      </c>
      <c r="B4" t="inlineStr"/>
      <c r="C4" t="inlineStr"/>
      <c r="D4">
        <f>IFERROR(C4/B4,"")</f>
        <v/>
      </c>
      <c r="E4" t="inlineStr"/>
      <c r="F4">
        <f>IFERROR(E4/B4,"")</f>
        <v/>
      </c>
    </row>
    <row r="5">
      <c r="A5" t="n">
        <v>2005</v>
      </c>
      <c r="B5" t="inlineStr"/>
      <c r="C5" t="inlineStr"/>
      <c r="D5">
        <f>IFERROR(C5/B5,"")</f>
        <v/>
      </c>
      <c r="E5" t="inlineStr"/>
      <c r="F5">
        <f>IFERROR(E5/B5,"")</f>
        <v/>
      </c>
    </row>
    <row r="6">
      <c r="A6" t="n">
        <v>2006</v>
      </c>
      <c r="B6" t="inlineStr"/>
      <c r="C6" t="inlineStr"/>
      <c r="D6">
        <f>IFERROR(C6/B6,"")</f>
        <v/>
      </c>
      <c r="E6" t="inlineStr"/>
      <c r="F6">
        <f>IFERROR(E6/B6,"")</f>
        <v/>
      </c>
    </row>
    <row r="7">
      <c r="A7" t="n">
        <v>2007</v>
      </c>
      <c r="B7" t="inlineStr"/>
      <c r="C7" t="inlineStr"/>
      <c r="D7">
        <f>IFERROR(C7/B7,"")</f>
        <v/>
      </c>
      <c r="E7" t="inlineStr"/>
      <c r="F7">
        <f>IFERROR(E7/B7,"")</f>
        <v/>
      </c>
    </row>
    <row r="8">
      <c r="A8" t="n">
        <v>2008</v>
      </c>
      <c r="B8" t="inlineStr"/>
      <c r="C8" t="inlineStr"/>
      <c r="D8">
        <f>IFERROR(C8/B8,"")</f>
        <v/>
      </c>
      <c r="E8" t="inlineStr"/>
      <c r="F8">
        <f>IFERROR(E8/B8,"")</f>
        <v/>
      </c>
    </row>
    <row r="9">
      <c r="A9" t="n">
        <v>2009</v>
      </c>
      <c r="B9" t="inlineStr"/>
      <c r="C9" t="inlineStr"/>
      <c r="D9">
        <f>IFERROR(C9/B9,"")</f>
        <v/>
      </c>
      <c r="E9" t="inlineStr"/>
      <c r="F9">
        <f>IFERROR(E9/B9,"")</f>
        <v/>
      </c>
    </row>
    <row r="10">
      <c r="A10" t="n">
        <v>2010</v>
      </c>
      <c r="B10" t="inlineStr"/>
      <c r="C10" t="inlineStr"/>
      <c r="D10">
        <f>IFERROR(C10/B10,"")</f>
        <v/>
      </c>
      <c r="E10" t="inlineStr"/>
      <c r="F10">
        <f>IFERROR(E10/B10,"")</f>
        <v/>
      </c>
    </row>
    <row r="11">
      <c r="A11" t="n">
        <v>2011</v>
      </c>
      <c r="B11" t="inlineStr"/>
      <c r="C11" t="inlineStr"/>
      <c r="D11">
        <f>IFERROR(C11/B11,"")</f>
        <v/>
      </c>
      <c r="E11" t="inlineStr"/>
      <c r="F11">
        <f>IFERROR(E11/B11,"")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9" customWidth="1" min="3" max="3"/>
    <col width="23" customWidth="1" min="4" max="4"/>
    <col width="20" customWidth="1" min="5" max="5"/>
    <col width="23" customWidth="1" min="6" max="6"/>
    <col width="8" customWidth="1" min="7" max="7"/>
    <col width="28" customWidth="1" min="8" max="8"/>
    <col width="8" customWidth="1" min="9" max="9"/>
    <col width="23" customWidth="1" min="10" max="10"/>
    <col width="23" customWidth="1" min="11" max="11"/>
    <col width="14" customWidth="1" min="12" max="12"/>
  </cols>
  <sheetData>
    <row r="1">
      <c r="A1" s="4" t="inlineStr">
        <is>
          <t>Forecast</t>
        </is>
      </c>
    </row>
    <row r="2">
      <c r="A2" t="inlineStr">
        <is>
          <t>Year 1</t>
        </is>
      </c>
      <c r="B2" t="inlineStr"/>
      <c r="C2">
        <f>Assumptions!$B$9</f>
        <v/>
      </c>
      <c r="D2">
        <f>B2*Assumptions!$B$10</f>
        <v/>
      </c>
      <c r="E2">
        <f>IFERROR(D2/B2,"")</f>
        <v/>
      </c>
      <c r="F2">
        <f>B2*Assumptions!$B$13</f>
        <v/>
      </c>
      <c r="G2">
        <f>D2-F2</f>
        <v/>
      </c>
      <c r="H2">
        <f>MAX(0,G2*Assumptions!$B$7)</f>
        <v/>
      </c>
      <c r="I2">
        <f>G2-H2</f>
        <v/>
      </c>
      <c r="J2">
        <f>B2*Assumptions!$B$11</f>
        <v/>
      </c>
      <c r="K2">
        <f>B2*Assumptions!$B$12</f>
        <v/>
      </c>
      <c r="L2">
        <f>I2+F2-J2-K2</f>
        <v/>
      </c>
    </row>
    <row r="3">
      <c r="A3" t="inlineStr">
        <is>
          <t>Year 2</t>
        </is>
      </c>
      <c r="B3">
        <f>IF(B2="","",B2*(1+Assumptions!$B$9))</f>
        <v/>
      </c>
      <c r="C3">
        <f>Assumptions!$B$9</f>
        <v/>
      </c>
      <c r="D3">
        <f>B3*Assumptions!$B$10</f>
        <v/>
      </c>
      <c r="E3">
        <f>IFERROR(D3/B3,"")</f>
        <v/>
      </c>
      <c r="F3">
        <f>B3*Assumptions!$B$13</f>
        <v/>
      </c>
      <c r="G3">
        <f>D3-F3</f>
        <v/>
      </c>
      <c r="H3">
        <f>MAX(0,G3*Assumptions!$B$7)</f>
        <v/>
      </c>
      <c r="I3">
        <f>G3-H3</f>
        <v/>
      </c>
      <c r="J3">
        <f>B3*Assumptions!$B$11</f>
        <v/>
      </c>
      <c r="K3">
        <f>B3*Assumptions!$B$12</f>
        <v/>
      </c>
      <c r="L3">
        <f>I3+F3-J3-K3</f>
        <v/>
      </c>
    </row>
    <row r="4">
      <c r="A4" t="inlineStr">
        <is>
          <t>Year 3</t>
        </is>
      </c>
      <c r="B4">
        <f>IF(B3="","",B3*(1+Assumptions!$B$9))</f>
        <v/>
      </c>
      <c r="C4">
        <f>Assumptions!$B$9</f>
        <v/>
      </c>
      <c r="D4">
        <f>B4*Assumptions!$B$10</f>
        <v/>
      </c>
      <c r="E4">
        <f>IFERROR(D4/B4,"")</f>
        <v/>
      </c>
      <c r="F4">
        <f>B4*Assumptions!$B$13</f>
        <v/>
      </c>
      <c r="G4">
        <f>D4-F4</f>
        <v/>
      </c>
      <c r="H4">
        <f>MAX(0,G4*Assumptions!$B$7)</f>
        <v/>
      </c>
      <c r="I4">
        <f>G4-H4</f>
        <v/>
      </c>
      <c r="J4">
        <f>B4*Assumptions!$B$11</f>
        <v/>
      </c>
      <c r="K4">
        <f>B4*Assumptions!$B$12</f>
        <v/>
      </c>
      <c r="L4">
        <f>I4+F4-J4-K4</f>
        <v/>
      </c>
    </row>
    <row r="5">
      <c r="A5" t="inlineStr">
        <is>
          <t>Year 4</t>
        </is>
      </c>
      <c r="B5">
        <f>IF(B4="","",B4*(1+Assumptions!$B$9))</f>
        <v/>
      </c>
      <c r="C5">
        <f>Assumptions!$B$9</f>
        <v/>
      </c>
      <c r="D5">
        <f>B5*Assumptions!$B$10</f>
        <v/>
      </c>
      <c r="E5">
        <f>IFERROR(D5/B5,"")</f>
        <v/>
      </c>
      <c r="F5">
        <f>B5*Assumptions!$B$13</f>
        <v/>
      </c>
      <c r="G5">
        <f>D5-F5</f>
        <v/>
      </c>
      <c r="H5">
        <f>MAX(0,G5*Assumptions!$B$7)</f>
        <v/>
      </c>
      <c r="I5">
        <f>G5-H5</f>
        <v/>
      </c>
      <c r="J5">
        <f>B5*Assumptions!$B$11</f>
        <v/>
      </c>
      <c r="K5">
        <f>B5*Assumptions!$B$12</f>
        <v/>
      </c>
      <c r="L5">
        <f>I5+F5-J5-K5</f>
        <v/>
      </c>
    </row>
    <row r="6">
      <c r="A6" t="inlineStr">
        <is>
          <t>Year 5</t>
        </is>
      </c>
      <c r="B6">
        <f>IF(B5="","",B5*(1+Assumptions!$B$9))</f>
        <v/>
      </c>
      <c r="C6">
        <f>Assumptions!$B$9</f>
        <v/>
      </c>
      <c r="D6">
        <f>B6*Assumptions!$B$10</f>
        <v/>
      </c>
      <c r="E6">
        <f>IFERROR(D6/B6,"")</f>
        <v/>
      </c>
      <c r="F6">
        <f>B6*Assumptions!$B$13</f>
        <v/>
      </c>
      <c r="G6">
        <f>D6-F6</f>
        <v/>
      </c>
      <c r="H6">
        <f>MAX(0,G6*Assumptions!$B$7)</f>
        <v/>
      </c>
      <c r="I6">
        <f>G6-H6</f>
        <v/>
      </c>
      <c r="J6">
        <f>B6*Assumptions!$B$11</f>
        <v/>
      </c>
      <c r="K6">
        <f>B6*Assumptions!$B$12</f>
        <v/>
      </c>
      <c r="L6">
        <f>I6+F6-J6-K6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4" t="inlineStr">
        <is>
          <t>DCF</t>
        </is>
      </c>
    </row>
    <row r="2">
      <c r="A2" t="inlineStr">
        <is>
          <t>DCF Metric</t>
        </is>
      </c>
      <c r="B2" t="inlineStr">
        <is>
          <t>Value</t>
        </is>
      </c>
    </row>
    <row r="3">
      <c r="A3" t="inlineStr">
        <is>
          <t>Cost of Equity</t>
        </is>
      </c>
      <c r="B3">
        <f>Assumptions!B4+Assumptions!B5*Assumptions!B6</f>
        <v/>
      </c>
    </row>
    <row r="4">
      <c r="A4" t="inlineStr">
        <is>
          <t>WACC</t>
        </is>
      </c>
      <c r="B4">
        <f>B2</f>
        <v/>
      </c>
    </row>
    <row r="5">
      <c r="A5" t="inlineStr">
        <is>
          <t>Terminal Growth</t>
        </is>
      </c>
      <c r="B5">
        <f>Assumptions!B8</f>
        <v/>
      </c>
    </row>
    <row r="6">
      <c r="A6" t="inlineStr">
        <is>
          <t>PV of Explicit FCF</t>
        </is>
      </c>
      <c r="B6" t="inlineStr"/>
    </row>
    <row r="7">
      <c r="A7" t="inlineStr">
        <is>
          <t>Terminal Value</t>
        </is>
      </c>
      <c r="B7" t="inlineStr"/>
    </row>
    <row r="8">
      <c r="A8" t="inlineStr">
        <is>
          <t>PV of Terminal Value</t>
        </is>
      </c>
      <c r="B8" t="inlineStr"/>
    </row>
    <row r="9">
      <c r="A9" t="inlineStr">
        <is>
          <t>Enterprise Value</t>
        </is>
      </c>
      <c r="B9" t="inlineStr"/>
    </row>
    <row r="10">
      <c r="A10" t="inlineStr">
        <is>
          <t>Net Debt</t>
        </is>
      </c>
      <c r="B10" t="inlineStr"/>
    </row>
    <row r="11">
      <c r="A11" t="inlineStr">
        <is>
          <t>Equity Value</t>
        </is>
      </c>
      <c r="B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</cols>
  <sheetData>
    <row r="1">
      <c r="A1" s="4" t="inlineStr">
        <is>
          <t>Comps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4" t="inlineStr">
        <is>
          <t>Sensitivity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4" t="inlineStr">
        <is>
          <t>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2026-09-25T05:37:44Z</dcterms:created>
  <dcterms:modified xmlns:dcterms="http://purl.org/dc/terms/" xmlns:xsi="http://www.w3.org/2001/XMLSchema-instance" xsi:type="dcterms:W3CDTF">2026-09-25T05:37:44Z</dcterms:modified>
</cp:coreProperties>
</file>